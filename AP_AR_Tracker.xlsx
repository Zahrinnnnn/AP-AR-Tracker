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R Ledger" sheetId="2" state="visible" r:id="rId2"/>
    <sheet name="AP Ledger" sheetId="3" state="visible" r:id="rId3"/>
    <sheet name="AR Aging Report" sheetId="4" state="visible" r:id="rId4"/>
    <sheet name="AP Aging Report" sheetId="5" state="visible" r:id="rId5"/>
    <sheet name="Settings" sheetId="6" state="visible" r:id="rId6"/>
    <sheet name="Lookup Tables" sheetId="7" state="visible" r:id="rId7"/>
  </sheets>
  <definedNames>
    <definedName name="_xlnm.Print_Titles" localSheetId="3">'AR Aging Report'!$1:$4</definedName>
    <definedName name="_xlnm.Print_Area" localSheetId="3">'AR Aging Report'!$A$1:$H$12</definedName>
    <definedName name="_xlnm.Print_Titles" localSheetId="4">'AP Aging Report'!$1:$4</definedName>
    <definedName name="_xlnm.Print_Area" localSheetId="4">'AP Aging Report'!$A$1:$H$12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  <font>
      <name val="Calibri"/>
      <b val="1"/>
      <color rgb="00FFFFFF"/>
    </font>
    <font>
      <name val="Calibri"/>
      <b val="1"/>
      <color rgb="00FFFFFF"/>
      <sz val="18"/>
    </font>
    <font>
      <name val="Calibri"/>
      <b val="1"/>
      <color rgb="001F3864"/>
      <sz val="11"/>
    </font>
    <font>
      <name val="Calibri"/>
      <b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2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C6"/>
      </patternFill>
    </fill>
    <fill>
      <patternFill patternType="solid">
        <fgColor rgb="002E4D7B"/>
      </patternFill>
    </fill>
    <fill>
      <patternFill patternType="solid">
        <fgColor rgb="00D9D9D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4" fillId="0" borderId="0" pivotButton="0" quotePrefix="0" xfId="0"/>
    <xf numFmtId="0" fontId="10" fillId="2" borderId="1" applyAlignment="1" pivotButton="0" quotePrefix="0" xfId="0">
      <alignment horizontal="center" vertical="center"/>
    </xf>
    <xf numFmtId="4" fontId="11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1" pivotButton="0" quotePrefix="0" xfId="0"/>
    <xf numFmtId="0" fontId="2" fillId="2" borderId="1" pivotButton="0" quotePrefix="0" xfId="0"/>
    <xf numFmtId="4" fontId="6" fillId="2" borderId="1" pivotButton="0" quotePrefix="0" xfId="0"/>
    <xf numFmtId="164" fontId="4" fillId="5" borderId="1" applyAlignment="1" pivotButton="0" quotePrefix="0" xfId="0">
      <alignment horizontal="right" vertical="center"/>
    </xf>
    <xf numFmtId="0" fontId="5" fillId="0" borderId="1" pivotButton="0" quotePrefix="0" xfId="0"/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11">
    <dxf>
      <font>
        <name val="Calibri"/>
        <b val="1"/>
        <color rgb="00C00000"/>
        <sz val="10"/>
      </font>
      <fill>
        <patternFill patternType="solid">
          <fgColor rgb="00FFCCCC"/>
        </patternFill>
      </fill>
    </dxf>
    <dxf>
      <font>
        <name val="Calibri"/>
        <b val="1"/>
        <color rgb="00C07000"/>
        <sz val="10"/>
      </font>
      <fill>
        <patternFill patternType="solid">
          <fgColor rgb="00FFE0B2"/>
        </patternFill>
      </fill>
    </dxf>
    <dxf>
      <font>
        <name val="Calibri"/>
        <b val="1"/>
        <color rgb="007D6608"/>
        <sz val="10"/>
      </font>
      <fill>
        <patternFill patternType="solid">
          <fgColor rgb="00FFF9C4"/>
        </patternFill>
      </fill>
    </dxf>
    <dxf>
      <font>
        <name val="Calibri"/>
        <b val="1"/>
        <color rgb="00004085"/>
        <sz val="10"/>
      </font>
      <fill>
        <patternFill patternType="solid">
          <fgColor rgb="00CCE5FF"/>
        </patternFill>
      </fill>
    </dxf>
    <dxf>
      <font>
        <name val="Calibri"/>
        <b val="1"/>
        <color rgb="00375623"/>
        <sz val="10"/>
      </font>
      <fill>
        <patternFill patternType="solid">
          <fgColor rgb="00E2EFDA"/>
        </patternFill>
      </fill>
    </dxf>
    <dxf>
      <font>
        <name val="Calibri"/>
        <b val="1"/>
        <color rgb="00595959"/>
        <sz val="10"/>
      </font>
      <fill>
        <patternFill patternType="solid">
          <fgColor rgb="00F2F2F2"/>
        </patternFill>
      </fill>
    </dxf>
    <dxf>
      <fill>
        <patternFill patternType="solid">
          <fgColor rgb="00FFCCCC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CCE5FF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AR Aging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v>AR Outstanding (RM)</v>
          </tx>
          <spPr>
            <a:ln>
              <a:prstDash val="solid"/>
            </a:ln>
          </spPr>
          <cat>
            <numRef>
              <f>'Dashboard'!$A$46:$A$50</f>
            </numRef>
          </cat>
          <val>
            <numRef>
              <f>'Dashboard'!$B$46:$B$50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Outstanding (RM)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Aging Bucket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 Aging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v>AP Outstanding (RM)</v>
          </tx>
          <spPr>
            <a:ln>
              <a:prstDash val="solid"/>
            </a:ln>
          </spPr>
          <cat>
            <numRef>
              <f>'Dashboard'!$A$53:$A$57</f>
            </numRef>
          </cat>
          <val>
            <numRef>
              <f>'Dashboard'!$B$53:$B$57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Outstanding (RM)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Aging Bucket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_Ledger" displayName="AR_Ledger" ref="A2:O7" headerRowCount="1">
  <autoFilter ref="A2:O7"/>
  <tableColumns count="15">
    <tableColumn id="1" name="Invoice Number"/>
    <tableColumn id="2" name="Invoice Date"/>
    <tableColumn id="3" name="Due Date"/>
    <tableColumn id="4" name="Client Name"/>
    <tableColumn id="5" name="Description"/>
    <tableColumn id="6" name="Amount (excl. Tax)"/>
    <tableColumn id="7" name="Tax Amount"/>
    <tableColumn id="8" name="Total Amount"/>
    <tableColumn id="9" name="Payment Date"/>
    <tableColumn id="10" name="Payment Amount"/>
    <tableColumn id="11" name="Outstanding Balance"/>
    <tableColumn id="12" name="Days Overdue"/>
    <tableColumn id="13" name="Aging Bucket"/>
    <tableColumn id="14" name="Statu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_Ledger" displayName="AP_Ledger" ref="A2:O7" headerRowCount="1">
  <autoFilter ref="A2:O7"/>
  <tableColumns count="15">
    <tableColumn id="1" name="Bill Number"/>
    <tableColumn id="2" name="Bill Date"/>
    <tableColumn id="3" name="Due Date"/>
    <tableColumn id="4" name="Vendor Name"/>
    <tableColumn id="5" name="Description"/>
    <tableColumn id="6" name="Amount (excl. Tax)"/>
    <tableColumn id="7" name="Tax Amount"/>
    <tableColumn id="8" name="Total Amount"/>
    <tableColumn id="9" name="Payment Date"/>
    <tableColumn id="10" name="Payment Amount"/>
    <tableColumn id="11" name="Outstanding Balance"/>
    <tableColumn id="12" name="Days Overdue"/>
    <tableColumn id="13" name="Aging Bucket"/>
    <tableColumn id="14" name="Status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" t="inlineStr">
        <is>
          <t>AP / AR TRACKER  —  DASHBOARD</t>
        </is>
      </c>
    </row>
    <row r="2" ht="22" customHeight="1">
      <c r="A2" s="2">
        <f>Settings!$B$4</f>
        <v/>
      </c>
      <c r="J2" s="3" t="inlineStr">
        <is>
          <t>Report Date:</t>
        </is>
      </c>
      <c r="K2" s="4">
        <f>Settings!$B$5</f>
        <v/>
      </c>
    </row>
    <row r="3" ht="8" customHeight="1"/>
    <row r="4" ht="22" customHeight="1">
      <c r="A4" s="5" t="inlineStr">
        <is>
          <t>Total AR Outstanding (RM)</t>
        </is>
      </c>
      <c r="E4" s="5" t="inlineStr">
        <is>
          <t>Total AP Outstanding (RM)</t>
        </is>
      </c>
      <c r="I4" s="5" t="inlineStr">
        <is>
          <t>Net Position: AR minus AP (RM)</t>
        </is>
      </c>
    </row>
    <row r="5" ht="44" customHeight="1">
      <c r="A5" s="6">
        <f>SUMIF('AR Ledger'!$N$3:$N$1000,"&lt;&gt;Paid",'AR Ledger'!$K$3:$K$1000)</f>
        <v/>
      </c>
      <c r="E5" s="6">
        <f>SUMIF('AP Ledger'!$N$3:$N$1000,"&lt;&gt;Paid",'AP Ledger'!$K$3:$K$1000)</f>
        <v/>
      </c>
      <c r="I5" s="6">
        <f>SUMIF('AR Ledger'!$N$3:$N$1000,"&lt;&gt;Paid",'AR Ledger'!$K$3:$K$1000)-SUMIF('AP Ledger'!$N$3:$N$1000,"&lt;&gt;Paid",'AP Ledger'!$K$3:$K$1000)</f>
        <v/>
      </c>
    </row>
    <row r="6" ht="22" customHeight="1">
      <c r="A6" s="5" t="inlineStr">
        <is>
          <t>Total AR Overdue 90+ Days (RM)</t>
        </is>
      </c>
      <c r="E6" s="5" t="inlineStr">
        <is>
          <t>Number of Overdue AR Invoices</t>
        </is>
      </c>
      <c r="I6" s="5" t="inlineStr">
        <is>
          <t>Collection Rate (Paid / Total Invoiced)</t>
        </is>
      </c>
    </row>
    <row r="7" ht="44" customHeight="1">
      <c r="A7" s="6">
        <f>SUMIF('AR Ledger'!$M$3:$M$1000,"90+ Days",'AR Ledger'!$K$3:$K$1000)</f>
        <v/>
      </c>
      <c r="E7" s="7">
        <f>COUNTIF('AR Ledger'!$N$3:$N$1000,"Overdue")+COUNTIF('AR Ledger'!$N$3:$N$1000,"Partial")</f>
        <v/>
      </c>
      <c r="I7" s="8">
        <f>IFERROR(1-SUMIF('AR Ledger'!$N$3:$N$1000,"&lt;&gt;Paid",'AR Ledger'!$K$3:$K$1000)/SUM('AR Ledger'!$H$3:$H$1000),0)</f>
        <v/>
      </c>
    </row>
    <row r="8" ht="10" customHeight="1"/>
    <row r="45">
      <c r="A45" t="inlineStr">
        <is>
          <t>Aging Bucket</t>
        </is>
      </c>
      <c r="B45" t="inlineStr">
        <is>
          <t>Outstanding (RM)</t>
        </is>
      </c>
    </row>
    <row r="46">
      <c r="A46" t="inlineStr">
        <is>
          <t>Current</t>
        </is>
      </c>
      <c r="B46" s="9">
        <f>SUMIF('AR Ledger'!$M$3:$M$1000,"Current",'AR Ledger'!$K$3:$K$1000)</f>
        <v/>
      </c>
    </row>
    <row r="47">
      <c r="A47" t="inlineStr">
        <is>
          <t>1-30 Days</t>
        </is>
      </c>
      <c r="B47" s="9">
        <f>SUMIF('AR Ledger'!$M$3:$M$1000,"1-30 Days",'AR Ledger'!$K$3:$K$1000)</f>
        <v/>
      </c>
    </row>
    <row r="48">
      <c r="A48" t="inlineStr">
        <is>
          <t>31-60 Days</t>
        </is>
      </c>
      <c r="B48" s="9">
        <f>SUMIF('AR Ledger'!$M$3:$M$1000,"31-60 Days",'AR Ledger'!$K$3:$K$1000)</f>
        <v/>
      </c>
    </row>
    <row r="49">
      <c r="A49" t="inlineStr">
        <is>
          <t>61-90 Days</t>
        </is>
      </c>
      <c r="B49" s="9">
        <f>SUMIF('AR Ledger'!$M$3:$M$1000,"61-90 Days",'AR Ledger'!$K$3:$K$1000)</f>
        <v/>
      </c>
    </row>
    <row r="50">
      <c r="A50" t="inlineStr">
        <is>
          <t>90+ Days</t>
        </is>
      </c>
      <c r="B50" s="9">
        <f>SUMIF('AR Ledger'!$M$3:$M$1000,"90+ Days",'AR Ledger'!$K$3:$K$1000)</f>
        <v/>
      </c>
    </row>
    <row r="52">
      <c r="A52" t="inlineStr">
        <is>
          <t>Aging Bucket</t>
        </is>
      </c>
      <c r="B52" t="inlineStr">
        <is>
          <t>Outstanding (RM)</t>
        </is>
      </c>
    </row>
    <row r="53">
      <c r="A53" t="inlineStr">
        <is>
          <t>Current</t>
        </is>
      </c>
      <c r="B53" s="9">
        <f>SUMIF('AP Ledger'!$M$3:$M$1000,"Current",'AP Ledger'!$K$3:$K$1000)</f>
        <v/>
      </c>
    </row>
    <row r="54">
      <c r="A54" t="inlineStr">
        <is>
          <t>1-30 Days</t>
        </is>
      </c>
      <c r="B54" s="9">
        <f>SUMIF('AP Ledger'!$M$3:$M$1000,"1-30 Days",'AP Ledger'!$K$3:$K$1000)</f>
        <v/>
      </c>
    </row>
    <row r="55">
      <c r="A55" t="inlineStr">
        <is>
          <t>31-60 Days</t>
        </is>
      </c>
      <c r="B55" s="9">
        <f>SUMIF('AP Ledger'!$M$3:$M$1000,"31-60 Days",'AP Ledger'!$K$3:$K$1000)</f>
        <v/>
      </c>
    </row>
    <row r="56">
      <c r="A56" t="inlineStr">
        <is>
          <t>61-90 Days</t>
        </is>
      </c>
      <c r="B56" s="9">
        <f>SUMIF('AP Ledger'!$M$3:$M$1000,"61-90 Days",'AP Ledger'!$K$3:$K$1000)</f>
        <v/>
      </c>
    </row>
    <row r="57">
      <c r="A57" t="inlineStr">
        <is>
          <t>90+ Days</t>
        </is>
      </c>
      <c r="B57" s="9">
        <f>SUMIF('AP Ledger'!$M$3:$M$1000,"90+ Days",'AP Ledger'!$K$3:$K$1000)</f>
        <v/>
      </c>
    </row>
  </sheetData>
  <mergeCells count="14">
    <mergeCell ref="A2:F2"/>
    <mergeCell ref="A5:D5"/>
    <mergeCell ref="A6:D6"/>
    <mergeCell ref="A4:D4"/>
    <mergeCell ref="E4:H4"/>
    <mergeCell ref="A1:L1"/>
    <mergeCell ref="I4:L4"/>
    <mergeCell ref="E6:H6"/>
    <mergeCell ref="I6:L6"/>
    <mergeCell ref="A7:D7"/>
    <mergeCell ref="E7:H7"/>
    <mergeCell ref="I7:L7"/>
    <mergeCell ref="E5:H5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28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13" customWidth="1" min="12" max="12"/>
    <col width="14" customWidth="1" min="13" max="13"/>
    <col width="13" customWidth="1" min="14" max="14"/>
    <col width="22" customWidth="1" min="15" max="15"/>
  </cols>
  <sheetData>
    <row r="1" ht="28" customHeight="1">
      <c r="A1" s="10" t="inlineStr">
        <is>
          <t>AR Ledger — Invoice &amp; Payment Records</t>
        </is>
      </c>
    </row>
    <row r="2" ht="36" customHeight="1">
      <c r="A2" s="11" t="inlineStr">
        <is>
          <t>Invoice Number</t>
        </is>
      </c>
      <c r="B2" s="11" t="inlineStr">
        <is>
          <t>Invoice Date</t>
        </is>
      </c>
      <c r="C2" s="11" t="inlineStr">
        <is>
          <t>Due Date</t>
        </is>
      </c>
      <c r="D2" s="11" t="inlineStr">
        <is>
          <t>Client Name</t>
        </is>
      </c>
      <c r="E2" s="11" t="inlineStr">
        <is>
          <t>Description</t>
        </is>
      </c>
      <c r="F2" s="11" t="inlineStr">
        <is>
          <t>Amount (excl. Tax)</t>
        </is>
      </c>
      <c r="G2" s="11" t="inlineStr">
        <is>
          <t>Tax Amount</t>
        </is>
      </c>
      <c r="H2" s="11" t="inlineStr">
        <is>
          <t>Total Amount</t>
        </is>
      </c>
      <c r="I2" s="11" t="inlineStr">
        <is>
          <t>Payment Date</t>
        </is>
      </c>
      <c r="J2" s="11" t="inlineStr">
        <is>
          <t>Payment Amount</t>
        </is>
      </c>
      <c r="K2" s="11" t="inlineStr">
        <is>
          <t>Outstanding Balance</t>
        </is>
      </c>
      <c r="L2" s="11" t="inlineStr">
        <is>
          <t>Days Overdue</t>
        </is>
      </c>
      <c r="M2" s="11" t="inlineStr">
        <is>
          <t>Aging Bucket</t>
        </is>
      </c>
      <c r="N2" s="11" t="inlineStr">
        <is>
          <t>Status</t>
        </is>
      </c>
      <c r="O2" s="11" t="inlineStr">
        <is>
          <t>Notes</t>
        </is>
      </c>
    </row>
    <row r="3" ht="18" customHeight="1">
      <c r="A3" s="12" t="inlineStr">
        <is>
          <t>INV-001</t>
        </is>
      </c>
      <c r="B3" s="13" t="n">
        <v>46027</v>
      </c>
      <c r="C3" s="13" t="n">
        <v>46037</v>
      </c>
      <c r="D3" s="12" t="inlineStr">
        <is>
          <t>Axiata Group Berhad</t>
        </is>
      </c>
      <c r="E3" s="12" t="inlineStr">
        <is>
          <t>Software Development</t>
        </is>
      </c>
      <c r="F3" s="14" t="n">
        <v>5000</v>
      </c>
      <c r="G3" s="15">
        <f>F3*Settings!$B$6/100</f>
        <v/>
      </c>
      <c r="H3" s="15">
        <f>F3+G3</f>
        <v/>
      </c>
      <c r="I3" s="13" t="n">
        <v>46042</v>
      </c>
      <c r="J3" s="14" t="n">
        <v>5300</v>
      </c>
      <c r="K3" s="15">
        <f>H3-J3</f>
        <v/>
      </c>
      <c r="L3" s="16">
        <f>IF(K3&lt;=0,0,MAX(0,TODAY()-C3))</f>
        <v/>
      </c>
      <c r="M3" s="17">
        <f>IF(K3&lt;=0,"Paid",IF(L3=0,"Current",IF(L3&lt;=Settings!$B$8,"1-30 Days",IF(L3&lt;=Settings!$B$9,"31-60 Days",IF(L3&lt;=Settings!$B$10,"61-90 Days","90+ Days")))))</f>
        <v/>
      </c>
      <c r="N3" s="17">
        <f>IF(K3&lt;=0,"Paid",IF(J3&gt;0,"Partial",IF(L3&gt;0,"Overdue","Outstanding")))</f>
        <v/>
      </c>
      <c r="O3" s="12" t="inlineStr"/>
    </row>
    <row r="4" ht="18" customHeight="1">
      <c r="A4" s="12" t="inlineStr">
        <is>
          <t>INV-002</t>
        </is>
      </c>
      <c r="B4" s="13" t="n">
        <v>46042</v>
      </c>
      <c r="C4" s="13" t="n">
        <v>46057</v>
      </c>
      <c r="D4" s="12" t="inlineStr">
        <is>
          <t>Tenaga Nasional Berhad</t>
        </is>
      </c>
      <c r="E4" s="12" t="inlineStr">
        <is>
          <t>Consulting Services</t>
        </is>
      </c>
      <c r="F4" s="14" t="n">
        <v>8000</v>
      </c>
      <c r="G4" s="15">
        <f>F4*Settings!$B$6/100</f>
        <v/>
      </c>
      <c r="H4" s="15">
        <f>F4+G4</f>
        <v/>
      </c>
      <c r="I4" s="13" t="n">
        <v>46073</v>
      </c>
      <c r="J4" s="14" t="n">
        <v>4000</v>
      </c>
      <c r="K4" s="15">
        <f>H4-J4</f>
        <v/>
      </c>
      <c r="L4" s="16">
        <f>IF(K4&lt;=0,0,MAX(0,TODAY()-C4))</f>
        <v/>
      </c>
      <c r="M4" s="17">
        <f>IF(K4&lt;=0,"Paid",IF(L4=0,"Current",IF(L4&lt;=Settings!$B$8,"1-30 Days",IF(L4&lt;=Settings!$B$9,"31-60 Days",IF(L4&lt;=Settings!$B$10,"61-90 Days","90+ Days")))))</f>
        <v/>
      </c>
      <c r="N4" s="17">
        <f>IF(K4&lt;=0,"Paid",IF(J4&gt;0,"Partial",IF(L4&gt;0,"Overdue","Outstanding")))</f>
        <v/>
      </c>
      <c r="O4" s="12" t="inlineStr">
        <is>
          <t>Follow up required</t>
        </is>
      </c>
    </row>
    <row r="5" ht="18" customHeight="1">
      <c r="A5" s="12" t="inlineStr">
        <is>
          <t>INV-003</t>
        </is>
      </c>
      <c r="B5" s="13" t="n">
        <v>46063</v>
      </c>
      <c r="C5" s="13" t="n">
        <v>46078</v>
      </c>
      <c r="D5" s="12" t="inlineStr">
        <is>
          <t>CIMB Group Holdings</t>
        </is>
      </c>
      <c r="E5" s="12" t="inlineStr">
        <is>
          <t>Staff Training</t>
        </is>
      </c>
      <c r="F5" s="14" t="n">
        <v>3500</v>
      </c>
      <c r="G5" s="15">
        <f>F5*Settings!$B$6/100</f>
        <v/>
      </c>
      <c r="H5" s="15">
        <f>F5+G5</f>
        <v/>
      </c>
      <c r="I5" s="12" t="inlineStr"/>
      <c r="J5" s="14" t="n">
        <v>0</v>
      </c>
      <c r="K5" s="15">
        <f>H5-J5</f>
        <v/>
      </c>
      <c r="L5" s="16">
        <f>IF(K5&lt;=0,0,MAX(0,TODAY()-C5))</f>
        <v/>
      </c>
      <c r="M5" s="17">
        <f>IF(K5&lt;=0,"Paid",IF(L5=0,"Current",IF(L5&lt;=Settings!$B$8,"1-30 Days",IF(L5&lt;=Settings!$B$9,"31-60 Days",IF(L5&lt;=Settings!$B$10,"61-90 Days","90+ Days")))))</f>
        <v/>
      </c>
      <c r="N5" s="17">
        <f>IF(K5&lt;=0,"Paid",IF(J5&gt;0,"Partial",IF(L5&gt;0,"Overdue","Outstanding")))</f>
        <v/>
      </c>
      <c r="O5" s="12" t="inlineStr"/>
    </row>
    <row r="6" ht="18" customHeight="1">
      <c r="A6" s="12" t="inlineStr">
        <is>
          <t>INV-004</t>
        </is>
      </c>
      <c r="B6" s="13" t="n">
        <v>46082</v>
      </c>
      <c r="C6" s="13" t="n">
        <v>46096</v>
      </c>
      <c r="D6" s="12" t="inlineStr">
        <is>
          <t>Axiata Group Berhad</t>
        </is>
      </c>
      <c r="E6" s="12" t="inlineStr">
        <is>
          <t>System Maintenance</t>
        </is>
      </c>
      <c r="F6" s="14" t="n">
        <v>2000</v>
      </c>
      <c r="G6" s="15">
        <f>F6*Settings!$B$6/100</f>
        <v/>
      </c>
      <c r="H6" s="15">
        <f>F6+G6</f>
        <v/>
      </c>
      <c r="I6" s="12" t="inlineStr"/>
      <c r="J6" s="14" t="n">
        <v>0</v>
      </c>
      <c r="K6" s="15">
        <f>H6-J6</f>
        <v/>
      </c>
      <c r="L6" s="16">
        <f>IF(K6&lt;=0,0,MAX(0,TODAY()-C6))</f>
        <v/>
      </c>
      <c r="M6" s="17">
        <f>IF(K6&lt;=0,"Paid",IF(L6=0,"Current",IF(L6&lt;=Settings!$B$8,"1-30 Days",IF(L6&lt;=Settings!$B$9,"31-60 Days",IF(L6&lt;=Settings!$B$10,"61-90 Days","90+ Days")))))</f>
        <v/>
      </c>
      <c r="N6" s="17">
        <f>IF(K6&lt;=0,"Paid",IF(J6&gt;0,"Partial",IF(L6&gt;0,"Overdue","Outstanding")))</f>
        <v/>
      </c>
      <c r="O6" s="12" t="inlineStr"/>
    </row>
    <row r="7" ht="18" customHeight="1">
      <c r="A7" s="12" t="inlineStr">
        <is>
          <t>INV-005</t>
        </is>
      </c>
      <c r="B7" s="13" t="n">
        <v>46101</v>
      </c>
      <c r="C7" s="13" t="n">
        <v>46131</v>
      </c>
      <c r="D7" s="12" t="inlineStr">
        <is>
          <t>Petronas Dagangan</t>
        </is>
      </c>
      <c r="E7" s="12" t="inlineStr">
        <is>
          <t>Software License</t>
        </is>
      </c>
      <c r="F7" s="14" t="n">
        <v>12000</v>
      </c>
      <c r="G7" s="15">
        <f>F7*Settings!$B$6/100</f>
        <v/>
      </c>
      <c r="H7" s="15">
        <f>F7+G7</f>
        <v/>
      </c>
      <c r="I7" s="12" t="inlineStr"/>
      <c r="J7" s="14" t="n">
        <v>0</v>
      </c>
      <c r="K7" s="15">
        <f>H7-J7</f>
        <v/>
      </c>
      <c r="L7" s="16">
        <f>IF(K7&lt;=0,0,MAX(0,TODAY()-C7))</f>
        <v/>
      </c>
      <c r="M7" s="17">
        <f>IF(K7&lt;=0,"Paid",IF(L7=0,"Current",IF(L7&lt;=Settings!$B$8,"1-30 Days",IF(L7&lt;=Settings!$B$9,"31-60 Days",IF(L7&lt;=Settings!$B$10,"61-90 Days","90+ Days")))))</f>
        <v/>
      </c>
      <c r="N7" s="17">
        <f>IF(K7&lt;=0,"Paid",IF(J7&gt;0,"Partial",IF(L7&gt;0,"Overdue","Outstanding")))</f>
        <v/>
      </c>
      <c r="O7" s="12" t="inlineStr"/>
    </row>
  </sheetData>
  <mergeCells count="1">
    <mergeCell ref="A1:O1"/>
  </mergeCells>
  <conditionalFormatting sqref="M3:M1000">
    <cfRule type="expression" priority="1" dxfId="0">
      <formula>=M="90+ Days"</formula>
    </cfRule>
    <cfRule type="expression" priority="2" dxfId="1">
      <formula>=M="61-90 Days"</formula>
    </cfRule>
    <cfRule type="expression" priority="3" dxfId="2">
      <formula>=M="31-60 Days"</formula>
    </cfRule>
    <cfRule type="expression" priority="4" dxfId="3">
      <formula>=M="1-30 Days"</formula>
    </cfRule>
    <cfRule type="expression" priority="5" dxfId="4">
      <formula>=M="Current"</formula>
    </cfRule>
    <cfRule type="expression" priority="6" dxfId="5">
      <formula>=M="Paid"</formula>
    </cfRule>
  </conditionalFormatting>
  <conditionalFormatting sqref="N3:N1000">
    <cfRule type="expression" priority="7" dxfId="0">
      <formula>=N="Overdue"</formula>
    </cfRule>
    <cfRule type="expression" priority="8" dxfId="1">
      <formula>=N="Partial"</formula>
    </cfRule>
    <cfRule type="expression" priority="9" dxfId="2">
      <formula>=N="Outstanding"</formula>
    </cfRule>
    <cfRule type="expression" priority="10" dxfId="4">
      <formula>=N="Paid"</formula>
    </cfRule>
  </conditionalFormatting>
  <dataValidations count="2">
    <dataValidation sqref="D3:D1000" showDropDown="0" showInputMessage="0" showErrorMessage="0" allowBlank="1" errorTitle="Invalid Client" error="Please select a client from the dropdown list." promptTitle="Client Name" prompt="Select a client from the list" type="list">
      <formula1>='Lookup Tables'!$B$5:$B$9</formula1>
    </dataValidation>
    <dataValidation sqref="F3:F1000" showDropDown="0" showInputMessage="0" showErrorMessage="0" allowBlank="1" errorTitle="Invalid Amount" error="Amount must be a positive number.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28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13" customWidth="1" min="12" max="12"/>
    <col width="14" customWidth="1" min="13" max="13"/>
    <col width="13" customWidth="1" min="14" max="14"/>
    <col width="22" customWidth="1" min="15" max="15"/>
  </cols>
  <sheetData>
    <row r="1" ht="28" customHeight="1">
      <c r="A1" s="10" t="inlineStr">
        <is>
          <t>AP Ledger — Invoice &amp; Payment Records</t>
        </is>
      </c>
    </row>
    <row r="2" ht="36" customHeight="1">
      <c r="A2" s="11" t="inlineStr">
        <is>
          <t>Bill Number</t>
        </is>
      </c>
      <c r="B2" s="11" t="inlineStr">
        <is>
          <t>Bill Date</t>
        </is>
      </c>
      <c r="C2" s="11" t="inlineStr">
        <is>
          <t>Due Date</t>
        </is>
      </c>
      <c r="D2" s="11" t="inlineStr">
        <is>
          <t>Vendor Name</t>
        </is>
      </c>
      <c r="E2" s="11" t="inlineStr">
        <is>
          <t>Description</t>
        </is>
      </c>
      <c r="F2" s="11" t="inlineStr">
        <is>
          <t>Amount (excl. Tax)</t>
        </is>
      </c>
      <c r="G2" s="11" t="inlineStr">
        <is>
          <t>Tax Amount</t>
        </is>
      </c>
      <c r="H2" s="11" t="inlineStr">
        <is>
          <t>Total Amount</t>
        </is>
      </c>
      <c r="I2" s="11" t="inlineStr">
        <is>
          <t>Payment Date</t>
        </is>
      </c>
      <c r="J2" s="11" t="inlineStr">
        <is>
          <t>Payment Amount</t>
        </is>
      </c>
      <c r="K2" s="11" t="inlineStr">
        <is>
          <t>Outstanding Balance</t>
        </is>
      </c>
      <c r="L2" s="11" t="inlineStr">
        <is>
          <t>Days Overdue</t>
        </is>
      </c>
      <c r="M2" s="11" t="inlineStr">
        <is>
          <t>Aging Bucket</t>
        </is>
      </c>
      <c r="N2" s="11" t="inlineStr">
        <is>
          <t>Status</t>
        </is>
      </c>
      <c r="O2" s="11" t="inlineStr">
        <is>
          <t>Notes</t>
        </is>
      </c>
    </row>
    <row r="3" ht="18" customHeight="1">
      <c r="A3" s="12" t="inlineStr">
        <is>
          <t>BILL-001</t>
        </is>
      </c>
      <c r="B3" s="13" t="n">
        <v>46030</v>
      </c>
      <c r="C3" s="13" t="n">
        <v>46040</v>
      </c>
      <c r="D3" s="12" t="inlineStr">
        <is>
          <t>Pos Malaysia Berhad</t>
        </is>
      </c>
      <c r="E3" s="12" t="inlineStr">
        <is>
          <t>Courier Services</t>
        </is>
      </c>
      <c r="F3" s="14" t="n">
        <v>500</v>
      </c>
      <c r="G3" s="15">
        <f>F3*Settings!$B$6/100</f>
        <v/>
      </c>
      <c r="H3" s="15">
        <f>F3+G3</f>
        <v/>
      </c>
      <c r="I3" s="13" t="n">
        <v>46042</v>
      </c>
      <c r="J3" s="14" t="n">
        <v>530</v>
      </c>
      <c r="K3" s="15">
        <f>H3-J3</f>
        <v/>
      </c>
      <c r="L3" s="16">
        <f>IF(K3&lt;=0,0,MAX(0,TODAY()-C3))</f>
        <v/>
      </c>
      <c r="M3" s="17">
        <f>IF(K3&lt;=0,"Paid",IF(L3=0,"Current",IF(L3&lt;=Settings!$B$8,"1-30 Days",IF(L3&lt;=Settings!$B$9,"31-60 Days",IF(L3&lt;=Settings!$B$10,"61-90 Days","90+ Days")))))</f>
        <v/>
      </c>
      <c r="N3" s="17">
        <f>IF(K3&lt;=0,"Paid",IF(J3&gt;0,"Partial",IF(L3&gt;0,"Overdue","Outstanding")))</f>
        <v/>
      </c>
      <c r="O3" s="12" t="inlineStr"/>
    </row>
    <row r="4" ht="18" customHeight="1">
      <c r="A4" s="12" t="inlineStr">
        <is>
          <t>BILL-002</t>
        </is>
      </c>
      <c r="B4" s="13" t="n">
        <v>46047</v>
      </c>
      <c r="C4" s="13" t="n">
        <v>46062</v>
      </c>
      <c r="D4" s="12" t="inlineStr">
        <is>
          <t>Telekom Malaysia</t>
        </is>
      </c>
      <c r="E4" s="12" t="inlineStr">
        <is>
          <t>Internet Subscription</t>
        </is>
      </c>
      <c r="F4" s="14" t="n">
        <v>350</v>
      </c>
      <c r="G4" s="15">
        <f>F4*Settings!$B$6/100</f>
        <v/>
      </c>
      <c r="H4" s="15">
        <f>F4+G4</f>
        <v/>
      </c>
      <c r="I4" s="13" t="n">
        <v>46065</v>
      </c>
      <c r="J4" s="14" t="n">
        <v>371</v>
      </c>
      <c r="K4" s="15">
        <f>H4-J4</f>
        <v/>
      </c>
      <c r="L4" s="16">
        <f>IF(K4&lt;=0,0,MAX(0,TODAY()-C4))</f>
        <v/>
      </c>
      <c r="M4" s="17">
        <f>IF(K4&lt;=0,"Paid",IF(L4=0,"Current",IF(L4&lt;=Settings!$B$8,"1-30 Days",IF(L4&lt;=Settings!$B$9,"31-60 Days",IF(L4&lt;=Settings!$B$10,"61-90 Days","90+ Days")))))</f>
        <v/>
      </c>
      <c r="N4" s="17">
        <f>IF(K4&lt;=0,"Paid",IF(J4&gt;0,"Partial",IF(L4&gt;0,"Overdue","Outstanding")))</f>
        <v/>
      </c>
      <c r="O4" s="12" t="inlineStr"/>
    </row>
    <row r="5" ht="18" customHeight="1">
      <c r="A5" s="12" t="inlineStr">
        <is>
          <t>BILL-003</t>
        </is>
      </c>
      <c r="B5" s="13" t="n">
        <v>46061</v>
      </c>
      <c r="C5" s="13" t="n">
        <v>46075</v>
      </c>
      <c r="D5" s="12" t="inlineStr">
        <is>
          <t>Digi Telecommunications</t>
        </is>
      </c>
      <c r="E5" s="12" t="inlineStr">
        <is>
          <t>Mobile Services</t>
        </is>
      </c>
      <c r="F5" s="14" t="n">
        <v>200</v>
      </c>
      <c r="G5" s="15">
        <f>F5*Settings!$B$6/100</f>
        <v/>
      </c>
      <c r="H5" s="15">
        <f>F5+G5</f>
        <v/>
      </c>
      <c r="I5" s="12" t="inlineStr"/>
      <c r="J5" s="14" t="n">
        <v>0</v>
      </c>
      <c r="K5" s="15">
        <f>H5-J5</f>
        <v/>
      </c>
      <c r="L5" s="16">
        <f>IF(K5&lt;=0,0,MAX(0,TODAY()-C5))</f>
        <v/>
      </c>
      <c r="M5" s="17">
        <f>IF(K5&lt;=0,"Paid",IF(L5=0,"Current",IF(L5&lt;=Settings!$B$8,"1-30 Days",IF(L5&lt;=Settings!$B$9,"31-60 Days",IF(L5&lt;=Settings!$B$10,"61-90 Days","90+ Days")))))</f>
        <v/>
      </c>
      <c r="N5" s="17">
        <f>IF(K5&lt;=0,"Paid",IF(J5&gt;0,"Partial",IF(L5&gt;0,"Overdue","Outstanding")))</f>
        <v/>
      </c>
      <c r="O5" s="12" t="inlineStr"/>
    </row>
    <row r="6" ht="18" customHeight="1">
      <c r="A6" s="12" t="inlineStr">
        <is>
          <t>BILL-004</t>
        </is>
      </c>
      <c r="B6" s="13" t="n">
        <v>46086</v>
      </c>
      <c r="C6" s="13" t="n">
        <v>46100</v>
      </c>
      <c r="D6" s="12" t="inlineStr">
        <is>
          <t>Syabas Water Supply</t>
        </is>
      </c>
      <c r="E6" s="12" t="inlineStr">
        <is>
          <t>Monthly Water Bill</t>
        </is>
      </c>
      <c r="F6" s="14" t="n">
        <v>150</v>
      </c>
      <c r="G6" s="15">
        <f>F6*Settings!$B$6/100</f>
        <v/>
      </c>
      <c r="H6" s="15">
        <f>F6+G6</f>
        <v/>
      </c>
      <c r="I6" s="12" t="inlineStr"/>
      <c r="J6" s="14" t="n">
        <v>0</v>
      </c>
      <c r="K6" s="15">
        <f>H6-J6</f>
        <v/>
      </c>
      <c r="L6" s="16">
        <f>IF(K6&lt;=0,0,MAX(0,TODAY()-C6))</f>
        <v/>
      </c>
      <c r="M6" s="17">
        <f>IF(K6&lt;=0,"Paid",IF(L6=0,"Current",IF(L6&lt;=Settings!$B$8,"1-30 Days",IF(L6&lt;=Settings!$B$9,"31-60 Days",IF(L6&lt;=Settings!$B$10,"61-90 Days","90+ Days")))))</f>
        <v/>
      </c>
      <c r="N6" s="17">
        <f>IF(K6&lt;=0,"Paid",IF(J6&gt;0,"Partial",IF(L6&gt;0,"Overdue","Outstanding")))</f>
        <v/>
      </c>
      <c r="O6" s="12" t="inlineStr"/>
    </row>
    <row r="7" ht="18" customHeight="1">
      <c r="A7" s="12" t="inlineStr">
        <is>
          <t>BILL-005</t>
        </is>
      </c>
      <c r="B7" s="13" t="n">
        <v>46096</v>
      </c>
      <c r="C7" s="13" t="n">
        <v>46126</v>
      </c>
      <c r="D7" s="12" t="inlineStr">
        <is>
          <t>TNB (Electricity)</t>
        </is>
      </c>
      <c r="E7" s="12" t="inlineStr">
        <is>
          <t>Electricity Bill</t>
        </is>
      </c>
      <c r="F7" s="14" t="n">
        <v>800</v>
      </c>
      <c r="G7" s="15">
        <f>F7*Settings!$B$6/100</f>
        <v/>
      </c>
      <c r="H7" s="15">
        <f>F7+G7</f>
        <v/>
      </c>
      <c r="I7" s="12" t="inlineStr"/>
      <c r="J7" s="14" t="n">
        <v>0</v>
      </c>
      <c r="K7" s="15">
        <f>H7-J7</f>
        <v/>
      </c>
      <c r="L7" s="16">
        <f>IF(K7&lt;=0,0,MAX(0,TODAY()-C7))</f>
        <v/>
      </c>
      <c r="M7" s="17">
        <f>IF(K7&lt;=0,"Paid",IF(L7=0,"Current",IF(L7&lt;=Settings!$B$8,"1-30 Days",IF(L7&lt;=Settings!$B$9,"31-60 Days",IF(L7&lt;=Settings!$B$10,"61-90 Days","90+ Days")))))</f>
        <v/>
      </c>
      <c r="N7" s="17">
        <f>IF(K7&lt;=0,"Paid",IF(J7&gt;0,"Partial",IF(L7&gt;0,"Overdue","Outstanding")))</f>
        <v/>
      </c>
      <c r="O7" s="12" t="inlineStr"/>
    </row>
  </sheetData>
  <mergeCells count="1">
    <mergeCell ref="A1:O1"/>
  </mergeCells>
  <conditionalFormatting sqref="M3:M1000">
    <cfRule type="expression" priority="1" dxfId="0">
      <formula>=M="90+ Days"</formula>
    </cfRule>
    <cfRule type="expression" priority="2" dxfId="1">
      <formula>=M="61-90 Days"</formula>
    </cfRule>
    <cfRule type="expression" priority="3" dxfId="2">
      <formula>=M="31-60 Days"</formula>
    </cfRule>
    <cfRule type="expression" priority="4" dxfId="3">
      <formula>=M="1-30 Days"</formula>
    </cfRule>
    <cfRule type="expression" priority="5" dxfId="4">
      <formula>=M="Current"</formula>
    </cfRule>
    <cfRule type="expression" priority="6" dxfId="5">
      <formula>=M="Paid"</formula>
    </cfRule>
  </conditionalFormatting>
  <conditionalFormatting sqref="N3:N1000">
    <cfRule type="expression" priority="7" dxfId="0">
      <formula>=N="Overdue"</formula>
    </cfRule>
    <cfRule type="expression" priority="8" dxfId="1">
      <formula>=N="Partial"</formula>
    </cfRule>
    <cfRule type="expression" priority="9" dxfId="2">
      <formula>=N="Outstanding"</formula>
    </cfRule>
    <cfRule type="expression" priority="10" dxfId="4">
      <formula>=N="Paid"</formula>
    </cfRule>
  </conditionalFormatting>
  <dataValidations count="2">
    <dataValidation sqref="D3:D1000" showDropDown="0" showInputMessage="0" showErrorMessage="0" allowBlank="1" errorTitle="Invalid Vendor" error="Please select a vendor from the dropdown list." promptTitle="Vendor Name" prompt="Select a vendor from the list" type="list">
      <formula1>='Lookup Tables'!$E$5:$E$9</formula1>
    </dataValidation>
    <dataValidation sqref="F3:F1000" showDropDown="0" showInputMessage="0" showErrorMessage="0" allowBlank="1" errorTitle="Invalid Amount" error="Amount must be a positive number.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0" t="inlineStr">
        <is>
          <t>AR Aging Report — Outstanding Balance Summary</t>
        </is>
      </c>
    </row>
    <row r="2">
      <c r="A2" s="18" t="inlineStr">
        <is>
          <t>Report Date:</t>
        </is>
      </c>
      <c r="B2" s="4">
        <f>Settings!$B$5</f>
        <v/>
      </c>
    </row>
    <row r="4" ht="32" customHeight="1">
      <c r="A4" s="11" t="inlineStr">
        <is>
          <t>Entity Name</t>
        </is>
      </c>
      <c r="B4" s="11" t="inlineStr">
        <is>
          <t>Total Outstanding</t>
        </is>
      </c>
      <c r="C4" s="11" t="inlineStr">
        <is>
          <t>Current</t>
        </is>
      </c>
      <c r="D4" s="11" t="inlineStr">
        <is>
          <t>1-30 Days</t>
        </is>
      </c>
      <c r="E4" s="11" t="inlineStr">
        <is>
          <t>31-60 Days</t>
        </is>
      </c>
      <c r="F4" s="11" t="inlineStr">
        <is>
          <t>61-90 Days</t>
        </is>
      </c>
      <c r="G4" s="11" t="inlineStr">
        <is>
          <t>90+ Days</t>
        </is>
      </c>
    </row>
    <row r="5" ht="18" customHeight="1">
      <c r="A5" s="19" t="inlineStr">
        <is>
          <t>Axiata Group Berhad</t>
        </is>
      </c>
      <c r="B5" s="15">
        <f>SUMIF('AR Ledger'!$D:$D,A5,'AR Ledger'!$K:$K)</f>
        <v/>
      </c>
      <c r="C5" s="15">
        <f>SUMIFS('AR Ledger'!$K:$K,'AR Ledger'!$D:$D,A5,'AR Ledger'!$M:$M,"Current")</f>
        <v/>
      </c>
      <c r="D5" s="15">
        <f>SUMIFS('AR Ledger'!$K:$K,'AR Ledger'!$D:$D,A5,'AR Ledger'!$M:$M,"1-30 Days")</f>
        <v/>
      </c>
      <c r="E5" s="15">
        <f>SUMIFS('AR Ledger'!$K:$K,'AR Ledger'!$D:$D,A5,'AR Ledger'!$M:$M,"31-60 Days")</f>
        <v/>
      </c>
      <c r="F5" s="15">
        <f>SUMIFS('AR Ledger'!$K:$K,'AR Ledger'!$D:$D,A5,'AR Ledger'!$M:$M,"61-90 Days")</f>
        <v/>
      </c>
      <c r="G5" s="15">
        <f>SUMIFS('AR Ledger'!$K:$K,'AR Ledger'!$D:$D,A5,'AR Ledger'!$M:$M,"90+ Days")</f>
        <v/>
      </c>
    </row>
    <row r="6" ht="18" customHeight="1">
      <c r="A6" s="19" t="inlineStr">
        <is>
          <t>Tenaga Nasional Berhad</t>
        </is>
      </c>
      <c r="B6" s="15">
        <f>SUMIF('AR Ledger'!$D:$D,A6,'AR Ledger'!$K:$K)</f>
        <v/>
      </c>
      <c r="C6" s="15">
        <f>SUMIFS('AR Ledger'!$K:$K,'AR Ledger'!$D:$D,A6,'AR Ledger'!$M:$M,"Current")</f>
        <v/>
      </c>
      <c r="D6" s="15">
        <f>SUMIFS('AR Ledger'!$K:$K,'AR Ledger'!$D:$D,A6,'AR Ledger'!$M:$M,"1-30 Days")</f>
        <v/>
      </c>
      <c r="E6" s="15">
        <f>SUMIFS('AR Ledger'!$K:$K,'AR Ledger'!$D:$D,A6,'AR Ledger'!$M:$M,"31-60 Days")</f>
        <v/>
      </c>
      <c r="F6" s="15">
        <f>SUMIFS('AR Ledger'!$K:$K,'AR Ledger'!$D:$D,A6,'AR Ledger'!$M:$M,"61-90 Days")</f>
        <v/>
      </c>
      <c r="G6" s="15">
        <f>SUMIFS('AR Ledger'!$K:$K,'AR Ledger'!$D:$D,A6,'AR Ledger'!$M:$M,"90+ Days")</f>
        <v/>
      </c>
    </row>
    <row r="7" ht="18" customHeight="1">
      <c r="A7" s="19" t="inlineStr">
        <is>
          <t>CIMB Group Holdings</t>
        </is>
      </c>
      <c r="B7" s="15">
        <f>SUMIF('AR Ledger'!$D:$D,A7,'AR Ledger'!$K:$K)</f>
        <v/>
      </c>
      <c r="C7" s="15">
        <f>SUMIFS('AR Ledger'!$K:$K,'AR Ledger'!$D:$D,A7,'AR Ledger'!$M:$M,"Current")</f>
        <v/>
      </c>
      <c r="D7" s="15">
        <f>SUMIFS('AR Ledger'!$K:$K,'AR Ledger'!$D:$D,A7,'AR Ledger'!$M:$M,"1-30 Days")</f>
        <v/>
      </c>
      <c r="E7" s="15">
        <f>SUMIFS('AR Ledger'!$K:$K,'AR Ledger'!$D:$D,A7,'AR Ledger'!$M:$M,"31-60 Days")</f>
        <v/>
      </c>
      <c r="F7" s="15">
        <f>SUMIFS('AR Ledger'!$K:$K,'AR Ledger'!$D:$D,A7,'AR Ledger'!$M:$M,"61-90 Days")</f>
        <v/>
      </c>
      <c r="G7" s="15">
        <f>SUMIFS('AR Ledger'!$K:$K,'AR Ledger'!$D:$D,A7,'AR Ledger'!$M:$M,"90+ Days")</f>
        <v/>
      </c>
    </row>
    <row r="8" ht="18" customHeight="1">
      <c r="A8" s="19" t="inlineStr">
        <is>
          <t>Petronas Dagangan</t>
        </is>
      </c>
      <c r="B8" s="15">
        <f>SUMIF('AR Ledger'!$D:$D,A8,'AR Ledger'!$K:$K)</f>
        <v/>
      </c>
      <c r="C8" s="15">
        <f>SUMIFS('AR Ledger'!$K:$K,'AR Ledger'!$D:$D,A8,'AR Ledger'!$M:$M,"Current")</f>
        <v/>
      </c>
      <c r="D8" s="15">
        <f>SUMIFS('AR Ledger'!$K:$K,'AR Ledger'!$D:$D,A8,'AR Ledger'!$M:$M,"1-30 Days")</f>
        <v/>
      </c>
      <c r="E8" s="15">
        <f>SUMIFS('AR Ledger'!$K:$K,'AR Ledger'!$D:$D,A8,'AR Ledger'!$M:$M,"31-60 Days")</f>
        <v/>
      </c>
      <c r="F8" s="15">
        <f>SUMIFS('AR Ledger'!$K:$K,'AR Ledger'!$D:$D,A8,'AR Ledger'!$M:$M,"61-90 Days")</f>
        <v/>
      </c>
      <c r="G8" s="15">
        <f>SUMIFS('AR Ledger'!$K:$K,'AR Ledger'!$D:$D,A8,'AR Ledger'!$M:$M,"90+ Days")</f>
        <v/>
      </c>
    </row>
    <row r="9" ht="18" customHeight="1">
      <c r="A9" s="19" t="inlineStr">
        <is>
          <t>Top Glove Corporation</t>
        </is>
      </c>
      <c r="B9" s="15">
        <f>SUMIF('AR Ledger'!$D:$D,A9,'AR Ledger'!$K:$K)</f>
        <v/>
      </c>
      <c r="C9" s="15">
        <f>SUMIFS('AR Ledger'!$K:$K,'AR Ledger'!$D:$D,A9,'AR Ledger'!$M:$M,"Current")</f>
        <v/>
      </c>
      <c r="D9" s="15">
        <f>SUMIFS('AR Ledger'!$K:$K,'AR Ledger'!$D:$D,A9,'AR Ledger'!$M:$M,"1-30 Days")</f>
        <v/>
      </c>
      <c r="E9" s="15">
        <f>SUMIFS('AR Ledger'!$K:$K,'AR Ledger'!$D:$D,A9,'AR Ledger'!$M:$M,"31-60 Days")</f>
        <v/>
      </c>
      <c r="F9" s="15">
        <f>SUMIFS('AR Ledger'!$K:$K,'AR Ledger'!$D:$D,A9,'AR Ledger'!$M:$M,"61-90 Days")</f>
        <v/>
      </c>
      <c r="G9" s="15">
        <f>SUMIFS('AR Ledger'!$K:$K,'AR Ledger'!$D:$D,A9,'AR Ledger'!$M:$M,"90+ Days")</f>
        <v/>
      </c>
    </row>
    <row r="10" ht="20" customHeight="1">
      <c r="A10" s="20" t="inlineStr">
        <is>
          <t>TOTAL</t>
        </is>
      </c>
      <c r="B10" s="21">
        <f>SUM(B5:B9)</f>
        <v/>
      </c>
      <c r="C10" s="21">
        <f>SUM(C5:C9)</f>
        <v/>
      </c>
      <c r="D10" s="21">
        <f>SUM(D5:D9)</f>
        <v/>
      </c>
      <c r="E10" s="21">
        <f>SUM(E5:E9)</f>
        <v/>
      </c>
      <c r="F10" s="21">
        <f>SUM(F5:F9)</f>
        <v/>
      </c>
      <c r="G10" s="21">
        <f>SUM(G5:G9)</f>
        <v/>
      </c>
    </row>
  </sheetData>
  <mergeCells count="1">
    <mergeCell ref="A1:H1"/>
  </mergeCells>
  <conditionalFormatting sqref="G5:G20">
    <cfRule type="cellIs" priority="1" operator="greaterThan" dxfId="6">
      <formula>0</formula>
    </cfRule>
  </conditionalFormatting>
  <conditionalFormatting sqref="F5:F20">
    <cfRule type="cellIs" priority="2" operator="greaterThan" dxfId="7">
      <formula>0</formula>
    </cfRule>
  </conditionalFormatting>
  <conditionalFormatting sqref="E5:E20">
    <cfRule type="cellIs" priority="3" operator="greaterThan" dxfId="8">
      <formula>0</formula>
    </cfRule>
  </conditionalFormatting>
  <conditionalFormatting sqref="D5:D20">
    <cfRule type="cellIs" priority="4" operator="greaterThan" dxfId="9">
      <formula>0</formula>
    </cfRule>
  </conditionalFormatting>
  <conditionalFormatting sqref="C5:C20">
    <cfRule type="cellIs" priority="5" operator="greaterThan" dxfId="10">
      <formula>0</formula>
    </cfRule>
  </conditionalFormatting>
  <pageMargins left="0.75" right="0.75" top="1" bottom="1" header="0.5" footer="0.5"/>
  <pageSetup orientation="portrait" paperSize="9" fitToHeight="0" fitToWidth="1"/>
  <headerFooter>
    <oddHeader>&amp;C&amp;B&amp;16AP/AR Tracker — Aging Report</oddHeader>
    <oddFooter>&amp;LConfidential&amp;C&amp;P of &amp;N&amp;R&amp;D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0" t="inlineStr">
        <is>
          <t>AP Aging Report — Outstanding Balance Summary</t>
        </is>
      </c>
    </row>
    <row r="2">
      <c r="A2" s="18" t="inlineStr">
        <is>
          <t>Report Date:</t>
        </is>
      </c>
      <c r="B2" s="4">
        <f>Settings!$B$5</f>
        <v/>
      </c>
    </row>
    <row r="4" ht="32" customHeight="1">
      <c r="A4" s="11" t="inlineStr">
        <is>
          <t>Entity Name</t>
        </is>
      </c>
      <c r="B4" s="11" t="inlineStr">
        <is>
          <t>Total Outstanding</t>
        </is>
      </c>
      <c r="C4" s="11" t="inlineStr">
        <is>
          <t>Current</t>
        </is>
      </c>
      <c r="D4" s="11" t="inlineStr">
        <is>
          <t>1-30 Days</t>
        </is>
      </c>
      <c r="E4" s="11" t="inlineStr">
        <is>
          <t>31-60 Days</t>
        </is>
      </c>
      <c r="F4" s="11" t="inlineStr">
        <is>
          <t>61-90 Days</t>
        </is>
      </c>
      <c r="G4" s="11" t="inlineStr">
        <is>
          <t>90+ Days</t>
        </is>
      </c>
      <c r="H4" s="11" t="inlineStr">
        <is>
          <t>Next Payment Due</t>
        </is>
      </c>
    </row>
    <row r="5" ht="18" customHeight="1">
      <c r="A5" s="19" t="inlineStr">
        <is>
          <t>Pos Malaysia Berhad</t>
        </is>
      </c>
      <c r="B5" s="15">
        <f>SUMIF('AP Ledger'!$D:$D,A5,'AP Ledger'!$K:$K)</f>
        <v/>
      </c>
      <c r="C5" s="15">
        <f>SUMIFS('AP Ledger'!$K:$K,'AP Ledger'!$D:$D,A5,'AP Ledger'!$M:$M,"Current")</f>
        <v/>
      </c>
      <c r="D5" s="15">
        <f>SUMIFS('AP Ledger'!$K:$K,'AP Ledger'!$D:$D,A5,'AP Ledger'!$M:$M,"1-30 Days")</f>
        <v/>
      </c>
      <c r="E5" s="15">
        <f>SUMIFS('AP Ledger'!$K:$K,'AP Ledger'!$D:$D,A5,'AP Ledger'!$M:$M,"31-60 Days")</f>
        <v/>
      </c>
      <c r="F5" s="15">
        <f>SUMIFS('AP Ledger'!$K:$K,'AP Ledger'!$D:$D,A5,'AP Ledger'!$M:$M,"61-90 Days")</f>
        <v/>
      </c>
      <c r="G5" s="15">
        <f>SUMIFS('AP Ledger'!$K:$K,'AP Ledger'!$D:$D,A5,'AP Ledger'!$M:$M,"90+ Days")</f>
        <v/>
      </c>
      <c r="H5" s="22">
        <f>IFERROR(MINIFS('AP Ledger'!$C:$C,'AP Ledger'!$D:$D,A5,'AP Ledger'!$N:$N,"&lt;&gt;Paid"),"")</f>
        <v/>
      </c>
    </row>
    <row r="6" ht="18" customHeight="1">
      <c r="A6" s="19" t="inlineStr">
        <is>
          <t>Telekom Malaysia</t>
        </is>
      </c>
      <c r="B6" s="15">
        <f>SUMIF('AP Ledger'!$D:$D,A6,'AP Ledger'!$K:$K)</f>
        <v/>
      </c>
      <c r="C6" s="15">
        <f>SUMIFS('AP Ledger'!$K:$K,'AP Ledger'!$D:$D,A6,'AP Ledger'!$M:$M,"Current")</f>
        <v/>
      </c>
      <c r="D6" s="15">
        <f>SUMIFS('AP Ledger'!$K:$K,'AP Ledger'!$D:$D,A6,'AP Ledger'!$M:$M,"1-30 Days")</f>
        <v/>
      </c>
      <c r="E6" s="15">
        <f>SUMIFS('AP Ledger'!$K:$K,'AP Ledger'!$D:$D,A6,'AP Ledger'!$M:$M,"31-60 Days")</f>
        <v/>
      </c>
      <c r="F6" s="15">
        <f>SUMIFS('AP Ledger'!$K:$K,'AP Ledger'!$D:$D,A6,'AP Ledger'!$M:$M,"61-90 Days")</f>
        <v/>
      </c>
      <c r="G6" s="15">
        <f>SUMIFS('AP Ledger'!$K:$K,'AP Ledger'!$D:$D,A6,'AP Ledger'!$M:$M,"90+ Days")</f>
        <v/>
      </c>
      <c r="H6" s="22">
        <f>IFERROR(MINIFS('AP Ledger'!$C:$C,'AP Ledger'!$D:$D,A6,'AP Ledger'!$N:$N,"&lt;&gt;Paid"),"")</f>
        <v/>
      </c>
    </row>
    <row r="7" ht="18" customHeight="1">
      <c r="A7" s="19" t="inlineStr">
        <is>
          <t>Digi Telecommunications</t>
        </is>
      </c>
      <c r="B7" s="15">
        <f>SUMIF('AP Ledger'!$D:$D,A7,'AP Ledger'!$K:$K)</f>
        <v/>
      </c>
      <c r="C7" s="15">
        <f>SUMIFS('AP Ledger'!$K:$K,'AP Ledger'!$D:$D,A7,'AP Ledger'!$M:$M,"Current")</f>
        <v/>
      </c>
      <c r="D7" s="15">
        <f>SUMIFS('AP Ledger'!$K:$K,'AP Ledger'!$D:$D,A7,'AP Ledger'!$M:$M,"1-30 Days")</f>
        <v/>
      </c>
      <c r="E7" s="15">
        <f>SUMIFS('AP Ledger'!$K:$K,'AP Ledger'!$D:$D,A7,'AP Ledger'!$M:$M,"31-60 Days")</f>
        <v/>
      </c>
      <c r="F7" s="15">
        <f>SUMIFS('AP Ledger'!$K:$K,'AP Ledger'!$D:$D,A7,'AP Ledger'!$M:$M,"61-90 Days")</f>
        <v/>
      </c>
      <c r="G7" s="15">
        <f>SUMIFS('AP Ledger'!$K:$K,'AP Ledger'!$D:$D,A7,'AP Ledger'!$M:$M,"90+ Days")</f>
        <v/>
      </c>
      <c r="H7" s="22">
        <f>IFERROR(MINIFS('AP Ledger'!$C:$C,'AP Ledger'!$D:$D,A7,'AP Ledger'!$N:$N,"&lt;&gt;Paid"),"")</f>
        <v/>
      </c>
    </row>
    <row r="8" ht="18" customHeight="1">
      <c r="A8" s="19" t="inlineStr">
        <is>
          <t>Syabas Water Supply</t>
        </is>
      </c>
      <c r="B8" s="15">
        <f>SUMIF('AP Ledger'!$D:$D,A8,'AP Ledger'!$K:$K)</f>
        <v/>
      </c>
      <c r="C8" s="15">
        <f>SUMIFS('AP Ledger'!$K:$K,'AP Ledger'!$D:$D,A8,'AP Ledger'!$M:$M,"Current")</f>
        <v/>
      </c>
      <c r="D8" s="15">
        <f>SUMIFS('AP Ledger'!$K:$K,'AP Ledger'!$D:$D,A8,'AP Ledger'!$M:$M,"1-30 Days")</f>
        <v/>
      </c>
      <c r="E8" s="15">
        <f>SUMIFS('AP Ledger'!$K:$K,'AP Ledger'!$D:$D,A8,'AP Ledger'!$M:$M,"31-60 Days")</f>
        <v/>
      </c>
      <c r="F8" s="15">
        <f>SUMIFS('AP Ledger'!$K:$K,'AP Ledger'!$D:$D,A8,'AP Ledger'!$M:$M,"61-90 Days")</f>
        <v/>
      </c>
      <c r="G8" s="15">
        <f>SUMIFS('AP Ledger'!$K:$K,'AP Ledger'!$D:$D,A8,'AP Ledger'!$M:$M,"90+ Days")</f>
        <v/>
      </c>
      <c r="H8" s="22">
        <f>IFERROR(MINIFS('AP Ledger'!$C:$C,'AP Ledger'!$D:$D,A8,'AP Ledger'!$N:$N,"&lt;&gt;Paid"),"")</f>
        <v/>
      </c>
    </row>
    <row r="9" ht="18" customHeight="1">
      <c r="A9" s="19" t="inlineStr">
        <is>
          <t>TNB (Electricity)</t>
        </is>
      </c>
      <c r="B9" s="15">
        <f>SUMIF('AP Ledger'!$D:$D,A9,'AP Ledger'!$K:$K)</f>
        <v/>
      </c>
      <c r="C9" s="15">
        <f>SUMIFS('AP Ledger'!$K:$K,'AP Ledger'!$D:$D,A9,'AP Ledger'!$M:$M,"Current")</f>
        <v/>
      </c>
      <c r="D9" s="15">
        <f>SUMIFS('AP Ledger'!$K:$K,'AP Ledger'!$D:$D,A9,'AP Ledger'!$M:$M,"1-30 Days")</f>
        <v/>
      </c>
      <c r="E9" s="15">
        <f>SUMIFS('AP Ledger'!$K:$K,'AP Ledger'!$D:$D,A9,'AP Ledger'!$M:$M,"31-60 Days")</f>
        <v/>
      </c>
      <c r="F9" s="15">
        <f>SUMIFS('AP Ledger'!$K:$K,'AP Ledger'!$D:$D,A9,'AP Ledger'!$M:$M,"61-90 Days")</f>
        <v/>
      </c>
      <c r="G9" s="15">
        <f>SUMIFS('AP Ledger'!$K:$K,'AP Ledger'!$D:$D,A9,'AP Ledger'!$M:$M,"90+ Days")</f>
        <v/>
      </c>
      <c r="H9" s="22">
        <f>IFERROR(MINIFS('AP Ledger'!$C:$C,'AP Ledger'!$D:$D,A9,'AP Ledger'!$N:$N,"&lt;&gt;Paid"),"")</f>
        <v/>
      </c>
    </row>
    <row r="10" ht="20" customHeight="1">
      <c r="A10" s="20" t="inlineStr">
        <is>
          <t>TOTAL</t>
        </is>
      </c>
      <c r="B10" s="21">
        <f>SUM(B5:B9)</f>
        <v/>
      </c>
      <c r="C10" s="21">
        <f>SUM(C5:C9)</f>
        <v/>
      </c>
      <c r="D10" s="21">
        <f>SUM(D5:D9)</f>
        <v/>
      </c>
      <c r="E10" s="21">
        <f>SUM(E5:E9)</f>
        <v/>
      </c>
      <c r="F10" s="21">
        <f>SUM(F5:F9)</f>
        <v/>
      </c>
      <c r="G10" s="21">
        <f>SUM(G5:G9)</f>
        <v/>
      </c>
      <c r="H10" s="21">
        <f>SUM(H5:H9)</f>
        <v/>
      </c>
    </row>
  </sheetData>
  <mergeCells count="1">
    <mergeCell ref="A1:H1"/>
  </mergeCells>
  <conditionalFormatting sqref="G5:G20">
    <cfRule type="cellIs" priority="1" operator="greaterThan" dxfId="6">
      <formula>0</formula>
    </cfRule>
  </conditionalFormatting>
  <conditionalFormatting sqref="F5:F20">
    <cfRule type="cellIs" priority="2" operator="greaterThan" dxfId="7">
      <formula>0</formula>
    </cfRule>
  </conditionalFormatting>
  <conditionalFormatting sqref="E5:E20">
    <cfRule type="cellIs" priority="3" operator="greaterThan" dxfId="8">
      <formula>0</formula>
    </cfRule>
  </conditionalFormatting>
  <conditionalFormatting sqref="D5:D20">
    <cfRule type="cellIs" priority="4" operator="greaterThan" dxfId="9">
      <formula>0</formula>
    </cfRule>
  </conditionalFormatting>
  <conditionalFormatting sqref="C5:C20">
    <cfRule type="cellIs" priority="5" operator="greaterThan" dxfId="10">
      <formula>0</formula>
    </cfRule>
  </conditionalFormatting>
  <pageMargins left="0.75" right="0.75" top="1" bottom="1" header="0.5" footer="0.5"/>
  <pageSetup orientation="portrait" paperSize="9" fitToHeight="0" fitToWidth="1"/>
  <headerFooter>
    <oddHeader>&amp;C&amp;B&amp;16AP/AR Tracker — Aging Report</oddHeader>
    <oddFooter>&amp;LConfidential&amp;C&amp;P of &amp;N&amp;R&amp;D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</cols>
  <sheetData>
    <row r="1" ht="28" customHeight="1">
      <c r="A1" s="10" t="inlineStr">
        <is>
          <t>AP/AR Tracker — Settings</t>
        </is>
      </c>
    </row>
    <row r="3">
      <c r="A3" s="11" t="inlineStr">
        <is>
          <t>Setting</t>
        </is>
      </c>
      <c r="B3" s="11" t="inlineStr">
        <is>
          <t>Value</t>
        </is>
      </c>
      <c r="C3" s="11" t="inlineStr">
        <is>
          <t>Notes</t>
        </is>
      </c>
    </row>
    <row r="4">
      <c r="A4" s="19" t="inlineStr">
        <is>
          <t>Company Name</t>
        </is>
      </c>
      <c r="B4" s="12" t="inlineStr">
        <is>
          <t>Your Company Sdn Bhd</t>
        </is>
      </c>
      <c r="C4" s="23" t="inlineStr">
        <is>
          <t>Shown in all report headers</t>
        </is>
      </c>
    </row>
    <row r="5">
      <c r="A5" s="19" t="inlineStr">
        <is>
          <t>Report Date</t>
        </is>
      </c>
      <c r="B5" s="13">
        <f>TODAY()</f>
        <v/>
      </c>
      <c r="C5" s="23" t="inlineStr">
        <is>
          <t>Auto-set to today; override if needed</t>
        </is>
      </c>
    </row>
    <row r="6">
      <c r="A6" s="19" t="inlineStr">
        <is>
          <t>Tax Rate (%)</t>
        </is>
      </c>
      <c r="B6" s="12" t="n">
        <v>6</v>
      </c>
      <c r="C6" s="23" t="inlineStr">
        <is>
          <t>SST rate applied to invoice amounts</t>
        </is>
      </c>
    </row>
    <row r="7">
      <c r="A7" s="19" t="inlineStr">
        <is>
          <t>Currency</t>
        </is>
      </c>
      <c r="B7" s="12" t="inlineStr">
        <is>
          <t>RM</t>
        </is>
      </c>
      <c r="C7" s="23" t="inlineStr">
        <is>
          <t>Display currency symbol</t>
        </is>
      </c>
    </row>
    <row r="8">
      <c r="A8" s="19" t="inlineStr">
        <is>
          <t>Aging Threshold 1</t>
        </is>
      </c>
      <c r="B8" s="12" t="n">
        <v>30</v>
      </c>
      <c r="C8" s="23" t="inlineStr">
        <is>
          <t>Upper limit for first overdue bucket</t>
        </is>
      </c>
    </row>
    <row r="9">
      <c r="A9" s="19" t="inlineStr">
        <is>
          <t>Aging Threshold 2</t>
        </is>
      </c>
      <c r="B9" s="12" t="n">
        <v>60</v>
      </c>
      <c r="C9" s="23" t="inlineStr">
        <is>
          <t>Upper limit for second overdue bucket</t>
        </is>
      </c>
    </row>
    <row r="10">
      <c r="A10" s="19" t="inlineStr">
        <is>
          <t>Aging Threshold 3</t>
        </is>
      </c>
      <c r="B10" s="12" t="n">
        <v>90</v>
      </c>
      <c r="C10" s="23" t="inlineStr">
        <is>
          <t>Upper limit for third overdue bucket</t>
        </is>
      </c>
    </row>
    <row r="11">
      <c r="A11" s="19" t="inlineStr">
        <is>
          <t>AR Invoice Prefix</t>
        </is>
      </c>
      <c r="B11" s="12" t="inlineStr">
        <is>
          <t>INV-</t>
        </is>
      </c>
      <c r="C11" s="23" t="inlineStr">
        <is>
          <t>Auto-number prefix for AR invoices</t>
        </is>
      </c>
    </row>
    <row r="12">
      <c r="A12" s="19" t="inlineStr">
        <is>
          <t>AP Bill Prefix</t>
        </is>
      </c>
      <c r="B12" s="12" t="inlineStr">
        <is>
          <t>BILL-</t>
        </is>
      </c>
      <c r="C12" s="23" t="inlineStr">
        <is>
          <t>Auto-number prefix for AP bills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" customWidth="1" min="3" max="3"/>
    <col width="10" customWidth="1" min="4" max="4"/>
    <col width="26" customWidth="1" min="5" max="5"/>
    <col width="3" customWidth="1" min="6" max="6"/>
    <col width="10" customWidth="1" min="7" max="7"/>
    <col width="28" customWidth="1" min="8" max="8"/>
    <col width="3" customWidth="1" min="9" max="9"/>
    <col width="9" customWidth="1" min="10" max="10"/>
    <col width="26" customWidth="1" min="11" max="11"/>
  </cols>
  <sheetData>
    <row r="1" ht="28" customHeight="1">
      <c r="A1" s="10" t="inlineStr">
        <is>
          <t>Lookup Tables — Reference Data</t>
        </is>
      </c>
    </row>
    <row r="3">
      <c r="A3" s="24" t="inlineStr">
        <is>
          <t xml:space="preserve">  Client List</t>
        </is>
      </c>
      <c r="D3" s="24" t="inlineStr">
        <is>
          <t xml:space="preserve">  Vendor List</t>
        </is>
      </c>
      <c r="G3" s="24" t="inlineStr">
        <is>
          <t xml:space="preserve">  Payment Terms</t>
        </is>
      </c>
      <c r="J3" s="24" t="inlineStr">
        <is>
          <t xml:space="preserve">  Account Codes</t>
        </is>
      </c>
    </row>
    <row r="4">
      <c r="A4" s="11" t="inlineStr">
        <is>
          <t>Client ID</t>
        </is>
      </c>
      <c r="B4" s="11" t="inlineStr">
        <is>
          <t>Client Name</t>
        </is>
      </c>
      <c r="D4" s="11" t="inlineStr">
        <is>
          <t>Vendor ID</t>
        </is>
      </c>
      <c r="E4" s="11" t="inlineStr">
        <is>
          <t>Vendor Name</t>
        </is>
      </c>
      <c r="G4" s="11" t="inlineStr">
        <is>
          <t>Term Code</t>
        </is>
      </c>
      <c r="H4" s="11" t="inlineStr">
        <is>
          <t>Description</t>
        </is>
      </c>
      <c r="J4" s="11" t="inlineStr">
        <is>
          <t>Code</t>
        </is>
      </c>
      <c r="K4" s="11" t="inlineStr">
        <is>
          <t>Account Name</t>
        </is>
      </c>
    </row>
    <row r="5">
      <c r="A5" s="12" t="inlineStr">
        <is>
          <t>CL-001</t>
        </is>
      </c>
      <c r="B5" s="12" t="inlineStr">
        <is>
          <t>Axiata Group Berhad</t>
        </is>
      </c>
      <c r="D5" s="12" t="inlineStr">
        <is>
          <t>VD-001</t>
        </is>
      </c>
      <c r="E5" s="12" t="inlineStr">
        <is>
          <t>Pos Malaysia Berhad</t>
        </is>
      </c>
      <c r="G5" s="12" t="inlineStr">
        <is>
          <t>NET7</t>
        </is>
      </c>
      <c r="H5" s="12" t="inlineStr">
        <is>
          <t>Payment due in 7 days</t>
        </is>
      </c>
      <c r="J5" s="12" t="inlineStr">
        <is>
          <t>1100</t>
        </is>
      </c>
      <c r="K5" s="12" t="inlineStr">
        <is>
          <t>Accounts Receivable</t>
        </is>
      </c>
    </row>
    <row r="6">
      <c r="A6" s="12" t="inlineStr">
        <is>
          <t>CL-002</t>
        </is>
      </c>
      <c r="B6" s="12" t="inlineStr">
        <is>
          <t>Tenaga Nasional Berhad</t>
        </is>
      </c>
      <c r="D6" s="12" t="inlineStr">
        <is>
          <t>VD-002</t>
        </is>
      </c>
      <c r="E6" s="12" t="inlineStr">
        <is>
          <t>Telekom Malaysia</t>
        </is>
      </c>
      <c r="G6" s="12" t="inlineStr">
        <is>
          <t>NET14</t>
        </is>
      </c>
      <c r="H6" s="12" t="inlineStr">
        <is>
          <t>Payment due in 14 days</t>
        </is>
      </c>
      <c r="J6" s="12" t="inlineStr">
        <is>
          <t>2100</t>
        </is>
      </c>
      <c r="K6" s="12" t="inlineStr">
        <is>
          <t>Accounts Payable</t>
        </is>
      </c>
    </row>
    <row r="7">
      <c r="A7" s="12" t="inlineStr">
        <is>
          <t>CL-003</t>
        </is>
      </c>
      <c r="B7" s="12" t="inlineStr">
        <is>
          <t>CIMB Group Holdings</t>
        </is>
      </c>
      <c r="D7" s="12" t="inlineStr">
        <is>
          <t>VD-003</t>
        </is>
      </c>
      <c r="E7" s="12" t="inlineStr">
        <is>
          <t>Digi Telecommunications</t>
        </is>
      </c>
      <c r="G7" s="12" t="inlineStr">
        <is>
          <t>NET30</t>
        </is>
      </c>
      <c r="H7" s="12" t="inlineStr">
        <is>
          <t>Payment due in 30 days</t>
        </is>
      </c>
      <c r="J7" s="12" t="inlineStr">
        <is>
          <t>4000</t>
        </is>
      </c>
      <c r="K7" s="12" t="inlineStr">
        <is>
          <t>Sales Revenue</t>
        </is>
      </c>
    </row>
    <row r="8">
      <c r="A8" s="12" t="inlineStr">
        <is>
          <t>CL-004</t>
        </is>
      </c>
      <c r="B8" s="12" t="inlineStr">
        <is>
          <t>Petronas Dagangan</t>
        </is>
      </c>
      <c r="D8" s="12" t="inlineStr">
        <is>
          <t>VD-004</t>
        </is>
      </c>
      <c r="E8" s="12" t="inlineStr">
        <is>
          <t>Syabas Water Supply</t>
        </is>
      </c>
      <c r="G8" s="12" t="inlineStr">
        <is>
          <t>NET60</t>
        </is>
      </c>
      <c r="H8" s="12" t="inlineStr">
        <is>
          <t>Payment due in 60 days</t>
        </is>
      </c>
      <c r="J8" s="12" t="inlineStr">
        <is>
          <t>5000</t>
        </is>
      </c>
      <c r="K8" s="12" t="inlineStr">
        <is>
          <t>Cost of Goods Sold</t>
        </is>
      </c>
    </row>
    <row r="9">
      <c r="A9" s="12" t="inlineStr">
        <is>
          <t>CL-005</t>
        </is>
      </c>
      <c r="B9" s="12" t="inlineStr">
        <is>
          <t>Top Glove Corporation</t>
        </is>
      </c>
      <c r="D9" s="12" t="inlineStr">
        <is>
          <t>VD-005</t>
        </is>
      </c>
      <c r="E9" s="12" t="inlineStr">
        <is>
          <t>TNB (Electricity)</t>
        </is>
      </c>
      <c r="G9" s="12" t="inlineStr">
        <is>
          <t>COD</t>
        </is>
      </c>
      <c r="H9" s="12" t="inlineStr">
        <is>
          <t>Cash on delivery</t>
        </is>
      </c>
      <c r="J9" s="12" t="inlineStr">
        <is>
          <t>6000</t>
        </is>
      </c>
      <c r="K9" s="12" t="inlineStr">
        <is>
          <t>Operating Expenses</t>
        </is>
      </c>
    </row>
    <row r="10">
      <c r="G10" s="12" t="inlineStr">
        <is>
          <t>EOM</t>
        </is>
      </c>
      <c r="H10" s="12" t="inlineStr">
        <is>
          <t>End of month</t>
        </is>
      </c>
      <c r="J10" s="12" t="inlineStr">
        <is>
          <t>2200</t>
        </is>
      </c>
      <c r="K10" s="12" t="inlineStr">
        <is>
          <t>SST Payable</t>
        </is>
      </c>
    </row>
  </sheetData>
  <mergeCells count="4">
    <mergeCell ref="J3:K3"/>
    <mergeCell ref="D3:E3"/>
    <mergeCell ref="A3:B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2026-03-29T22:23:14Z</dcterms:created>
  <dcterms:modified xsi:type="dcterms:W3CDTF">2026-03-29T22:23:14Z</dcterms:modified>
</cp:coreProperties>
</file>